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ulchawla/thesis/results/"/>
    </mc:Choice>
  </mc:AlternateContent>
  <xr:revisionPtr revIDLastSave="0" documentId="13_ncr:1_{AD3A696C-61F8-8948-9CD1-AF80D549D8C6}" xr6:coauthVersionLast="37" xr6:coauthVersionMax="37" xr10:uidLastSave="{00000000-0000-0000-0000-000000000000}"/>
  <bookViews>
    <workbookView xWindow="0" yWindow="0" windowWidth="33600" windowHeight="21000" activeTab="2" xr2:uid="{2D069F45-EF40-684B-8033-F6C6A7B443F8}"/>
  </bookViews>
  <sheets>
    <sheet name="orphan" sheetId="1" r:id="rId1"/>
    <sheet name="prop" sheetId="2" r:id="rId2"/>
    <sheet name="symbol size" sheetId="7" r:id="rId3"/>
    <sheet name="Scale" sheetId="8" r:id="rId4"/>
  </sheets>
  <definedNames>
    <definedName name="_xlchart.v1.0" hidden="1">'symbol size'!$A$2:$A$11</definedName>
    <definedName name="_xlchart.v1.1" hidden="1">'symbol size'!$B$1</definedName>
    <definedName name="_xlchart.v1.2" hidden="1">'symbol size'!$B$2:$B$11</definedName>
    <definedName name="_xlchart.v1.3" hidden="1">'symbol size'!$C$1</definedName>
    <definedName name="_xlchart.v1.4" hidden="1">'symbol size'!$C$2:$C$11</definedName>
    <definedName name="_xlchart.v1.5" hidden="1">'symbol size'!$D$1</definedName>
    <definedName name="_xlchart.v1.6" hidden="1">'symbol size'!$D$2:$D$11</definedName>
    <definedName name="_xlchart.v1.7" hidden="1">'symbol size'!$E$1</definedName>
    <definedName name="_xlchart.v1.8" hidden="1">'symbol size'!$E$2:$E$11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8" l="1"/>
  <c r="C9" i="8"/>
  <c r="C8" i="8"/>
  <c r="C5" i="8"/>
  <c r="C6" i="8"/>
  <c r="C7" i="8"/>
  <c r="C11" i="8"/>
  <c r="C4" i="8"/>
  <c r="C3" i="8"/>
  <c r="C2" i="8"/>
  <c r="G11" i="1" l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  <c r="B11" i="1" l="1"/>
  <c r="B10" i="1"/>
  <c r="B9" i="1"/>
  <c r="B8" i="1"/>
  <c r="B7" i="1"/>
  <c r="B6" i="1"/>
  <c r="B5" i="1"/>
  <c r="B4" i="1"/>
  <c r="B3" i="1"/>
  <c r="B2" i="1"/>
  <c r="C10" i="1" l="1"/>
  <c r="C9" i="1"/>
  <c r="C8" i="1"/>
  <c r="C7" i="1"/>
  <c r="C6" i="1"/>
  <c r="C5" i="1"/>
  <c r="C4" i="1"/>
  <c r="C3" i="1"/>
  <c r="C11" i="1"/>
  <c r="C2" i="1"/>
  <c r="D2" i="7"/>
  <c r="D3" i="7"/>
  <c r="D4" i="7"/>
  <c r="D5" i="7"/>
  <c r="D6" i="7"/>
  <c r="D7" i="7"/>
  <c r="D8" i="7"/>
  <c r="D9" i="7"/>
  <c r="D10" i="7"/>
  <c r="D11" i="7"/>
  <c r="E11" i="7" l="1"/>
  <c r="E10" i="7"/>
  <c r="E9" i="7"/>
  <c r="E8" i="7"/>
  <c r="B11" i="8" l="1"/>
  <c r="B10" i="8"/>
  <c r="B9" i="8"/>
  <c r="B8" i="8"/>
  <c r="B7" i="8"/>
  <c r="B6" i="8"/>
  <c r="B5" i="8"/>
  <c r="B4" i="8"/>
  <c r="B3" i="8"/>
  <c r="B2" i="8"/>
  <c r="E7" i="7"/>
  <c r="E6" i="7"/>
  <c r="E5" i="7"/>
  <c r="E4" i="7"/>
  <c r="E3" i="7"/>
  <c r="E2" i="7"/>
  <c r="B11" i="7"/>
  <c r="B10" i="7"/>
  <c r="B9" i="7"/>
  <c r="B8" i="7"/>
  <c r="B7" i="7"/>
  <c r="B6" i="7"/>
  <c r="B5" i="7"/>
  <c r="B4" i="7"/>
  <c r="C11" i="7"/>
  <c r="C10" i="7"/>
  <c r="C9" i="7"/>
  <c r="C8" i="7"/>
  <c r="C7" i="7"/>
  <c r="C6" i="7"/>
  <c r="C5" i="7"/>
  <c r="C4" i="7"/>
  <c r="C3" i="7"/>
  <c r="B3" i="7"/>
  <c r="B2" i="7"/>
  <c r="C2" i="7"/>
</calcChain>
</file>

<file path=xl/sharedStrings.xml><?xml version="1.0" encoding="utf-8"?>
<sst xmlns="http://schemas.openxmlformats.org/spreadsheetml/2006/main" count="51" uniqueCount="25">
  <si>
    <t>Block Size</t>
  </si>
  <si>
    <t>100MB</t>
  </si>
  <si>
    <t>200MB</t>
  </si>
  <si>
    <t>300MB</t>
  </si>
  <si>
    <t>400MB</t>
  </si>
  <si>
    <t>500MB</t>
  </si>
  <si>
    <t>600MB</t>
  </si>
  <si>
    <t>700MB</t>
  </si>
  <si>
    <t>800MB</t>
  </si>
  <si>
    <t>900MB</t>
  </si>
  <si>
    <t>1000MB</t>
  </si>
  <si>
    <t>block size</t>
  </si>
  <si>
    <t>orphan k=1000</t>
  </si>
  <si>
    <t>orphan k=100</t>
  </si>
  <si>
    <t>orphan k=10</t>
  </si>
  <si>
    <t>Orphan k=10000</t>
  </si>
  <si>
    <t>Network Size = 24</t>
  </si>
  <si>
    <t>Network size = 48</t>
  </si>
  <si>
    <t>traditional</t>
  </si>
  <si>
    <t>raptor k=10</t>
  </si>
  <si>
    <t>raptor k=100</t>
  </si>
  <si>
    <t>raptor k=1000</t>
  </si>
  <si>
    <t>raptor k=10000</t>
  </si>
  <si>
    <t>raptor k =10</t>
  </si>
  <si>
    <t>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</si>
</sst>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orphan!$B$1</c:f>
              <c:strCache>
                <c:ptCount val="1"/>
                <c:pt idx="0">
                  <c:v>traditional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orphan!$A$2:$A$11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orphan!$B$2:$B$11</c:f>
              <c:numCache>
                <c:formatCode>0.00</c:formatCode>
                <c:ptCount val="10"/>
                <c:pt idx="0">
                  <c:v>17.0546875</c:v>
                </c:pt>
                <c:pt idx="1">
                  <c:v>54.081632653061227</c:v>
                </c:pt>
                <c:pt idx="2">
                  <c:v>75</c:v>
                </c:pt>
                <c:pt idx="3">
                  <c:v>88.732394366197184</c:v>
                </c:pt>
                <c:pt idx="4">
                  <c:v>90.769230769230774</c:v>
                </c:pt>
                <c:pt idx="5">
                  <c:v>91.764705882352942</c:v>
                </c:pt>
                <c:pt idx="6">
                  <c:v>92.800000000000011</c:v>
                </c:pt>
                <c:pt idx="7">
                  <c:v>95.798319327731093</c:v>
                </c:pt>
                <c:pt idx="8">
                  <c:v>97.222222222222214</c:v>
                </c:pt>
                <c:pt idx="9">
                  <c:v>95.412844036697251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76-C340-836C-911B6FFB5A0F}"/>
            </c:ext>
          </c:extLst>
        </c:ser>
        <c:ser>
          <c:idx val="2"/>
          <c:order val="1"/>
          <c:tx>
            <c:strRef>
              <c:f>orphan!$C$1</c:f>
              <c:strCache>
                <c:ptCount val="1"/>
                <c:pt idx="0">
                  <c:v>raptor k =10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orphan!$A$2:$A$11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orphan!$C$2:$C$11</c:f>
              <c:numCache>
                <c:formatCode>0.00</c:formatCode>
                <c:ptCount val="10"/>
                <c:pt idx="0">
                  <c:v>9</c:v>
                </c:pt>
                <c:pt idx="1">
                  <c:v>22.222222222222221</c:v>
                </c:pt>
                <c:pt idx="2">
                  <c:v>32.11009174311927</c:v>
                </c:pt>
                <c:pt idx="3">
                  <c:v>43.39622641509434</c:v>
                </c:pt>
                <c:pt idx="4">
                  <c:v>58.928571428571431</c:v>
                </c:pt>
                <c:pt idx="5">
                  <c:v>58.762886597938149</c:v>
                </c:pt>
                <c:pt idx="6">
                  <c:v>57.777777777777771</c:v>
                </c:pt>
                <c:pt idx="7">
                  <c:v>77.319587628865989</c:v>
                </c:pt>
                <c:pt idx="8">
                  <c:v>67.857142857142861</c:v>
                </c:pt>
                <c:pt idx="9">
                  <c:v>76.623376623376629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76-C340-836C-911B6FFB5A0F}"/>
            </c:ext>
          </c:extLst>
        </c:ser>
        <c:ser>
          <c:idx val="3"/>
          <c:order val="2"/>
          <c:tx>
            <c:strRef>
              <c:f>orphan!$D$1</c:f>
              <c:strCache>
                <c:ptCount val="1"/>
                <c:pt idx="0">
                  <c:v>Consensus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11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val>
            <c:numRef>
              <c:f>orphan!$D$2:$D$11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C-7E45-BB89-071A2ED30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861807"/>
        <c:axId val="1892151615"/>
      </c:lineChart>
      <c:catAx>
        <c:axId val="185986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Block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51615"/>
        <c:crossesAt val="0"/>
        <c:auto val="1"/>
        <c:lblAlgn val="ctr"/>
        <c:lblOffset val="100"/>
        <c:noMultiLvlLbl val="0"/>
      </c:catAx>
      <c:valAx>
        <c:axId val="189215161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Orphan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6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252105493611062"/>
          <c:y val="0.94643157854070159"/>
          <c:w val="0.34925282070103353"/>
          <c:h val="4.3311068236032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orphan!$B$1</c:f>
              <c:strCache>
                <c:ptCount val="1"/>
                <c:pt idx="0">
                  <c:v>traditional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orphan!$A$2:$A$11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orphan!$B$2:$B$11</c:f>
              <c:numCache>
                <c:formatCode>0.00</c:formatCode>
                <c:ptCount val="10"/>
                <c:pt idx="0">
                  <c:v>17.0546875</c:v>
                </c:pt>
                <c:pt idx="1">
                  <c:v>54.081632653061227</c:v>
                </c:pt>
                <c:pt idx="2">
                  <c:v>75</c:v>
                </c:pt>
                <c:pt idx="3">
                  <c:v>88.732394366197184</c:v>
                </c:pt>
                <c:pt idx="4">
                  <c:v>90.769230769230774</c:v>
                </c:pt>
                <c:pt idx="5">
                  <c:v>91.764705882352942</c:v>
                </c:pt>
                <c:pt idx="6">
                  <c:v>92.800000000000011</c:v>
                </c:pt>
                <c:pt idx="7">
                  <c:v>95.798319327731093</c:v>
                </c:pt>
                <c:pt idx="8">
                  <c:v>97.222222222222214</c:v>
                </c:pt>
                <c:pt idx="9">
                  <c:v>95.412844036697251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2-4944-B863-2FE029302FB9}"/>
            </c:ext>
          </c:extLst>
        </c:ser>
        <c:ser>
          <c:idx val="2"/>
          <c:order val="1"/>
          <c:tx>
            <c:strRef>
              <c:f>orphan!$E$1</c:f>
              <c:strCache>
                <c:ptCount val="1"/>
                <c:pt idx="0">
                  <c:v>orphan k=100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orphan!$A$2:$A$11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orphan!$E$2:$E$11</c:f>
              <c:numCache>
                <c:formatCode>0.00</c:formatCode>
                <c:ptCount val="10"/>
                <c:pt idx="0">
                  <c:v>5.3735926305015349</c:v>
                </c:pt>
                <c:pt idx="1">
                  <c:v>17</c:v>
                </c:pt>
                <c:pt idx="2">
                  <c:v>26.041666666666668</c:v>
                </c:pt>
                <c:pt idx="3">
                  <c:v>18.14851485148515</c:v>
                </c:pt>
                <c:pt idx="4">
                  <c:v>40.931372549019606</c:v>
                </c:pt>
                <c:pt idx="5">
                  <c:v>33.726190476190474</c:v>
                </c:pt>
                <c:pt idx="6">
                  <c:v>53.924050632911388</c:v>
                </c:pt>
                <c:pt idx="7">
                  <c:v>56.990566037735846</c:v>
                </c:pt>
                <c:pt idx="8">
                  <c:v>56.237196765498652</c:v>
                </c:pt>
                <c:pt idx="9">
                  <c:v>62.291262135922331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2-4944-B863-2FE029302FB9}"/>
            </c:ext>
          </c:extLst>
        </c:ser>
        <c:ser>
          <c:idx val="3"/>
          <c:order val="2"/>
          <c:tx>
            <c:strRef>
              <c:f>orphan!$D$1</c:f>
              <c:strCache>
                <c:ptCount val="1"/>
                <c:pt idx="0">
                  <c:v>Consensus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11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val>
            <c:numRef>
              <c:f>orphan!$D$2:$D$11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62-4944-B863-2FE02930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861807"/>
        <c:axId val="1892151615"/>
      </c:lineChart>
      <c:catAx>
        <c:axId val="185986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Block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51615"/>
        <c:crossesAt val="0"/>
        <c:auto val="1"/>
        <c:lblAlgn val="ctr"/>
        <c:lblOffset val="100"/>
        <c:noMultiLvlLbl val="0"/>
      </c:catAx>
      <c:valAx>
        <c:axId val="189215161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Orphan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6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252105493611062"/>
          <c:y val="0.94643157854070159"/>
          <c:w val="0.34925282070103353"/>
          <c:h val="4.3311068236032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orphan!$B$1</c:f>
              <c:strCache>
                <c:ptCount val="1"/>
                <c:pt idx="0">
                  <c:v>traditional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orphan!$A$2:$A$11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orphan!$B$2:$B$11</c:f>
              <c:numCache>
                <c:formatCode>0.00</c:formatCode>
                <c:ptCount val="10"/>
                <c:pt idx="0">
                  <c:v>17.0546875</c:v>
                </c:pt>
                <c:pt idx="1">
                  <c:v>54.081632653061227</c:v>
                </c:pt>
                <c:pt idx="2">
                  <c:v>75</c:v>
                </c:pt>
                <c:pt idx="3">
                  <c:v>88.732394366197184</c:v>
                </c:pt>
                <c:pt idx="4">
                  <c:v>90.769230769230774</c:v>
                </c:pt>
                <c:pt idx="5">
                  <c:v>91.764705882352942</c:v>
                </c:pt>
                <c:pt idx="6">
                  <c:v>92.800000000000011</c:v>
                </c:pt>
                <c:pt idx="7">
                  <c:v>95.798319327731093</c:v>
                </c:pt>
                <c:pt idx="8">
                  <c:v>97.222222222222214</c:v>
                </c:pt>
                <c:pt idx="9">
                  <c:v>95.412844036697251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8-5746-AF47-B30F4672602F}"/>
            </c:ext>
          </c:extLst>
        </c:ser>
        <c:ser>
          <c:idx val="2"/>
          <c:order val="1"/>
          <c:tx>
            <c:strRef>
              <c:f>orphan!$G$1</c:f>
              <c:strCache>
                <c:ptCount val="1"/>
                <c:pt idx="0">
                  <c:v>Orphan k=10000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orphan!$A$2:$A$11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orphan!$G$2:$G$11</c:f>
              <c:numCache>
                <c:formatCode>0.00</c:formatCode>
                <c:ptCount val="10"/>
                <c:pt idx="0">
                  <c:v>13.152784874808379</c:v>
                </c:pt>
                <c:pt idx="1">
                  <c:v>17.094017094017094</c:v>
                </c:pt>
                <c:pt idx="2">
                  <c:v>26.388888888888889</c:v>
                </c:pt>
                <c:pt idx="3">
                  <c:v>25.510204081632654</c:v>
                </c:pt>
                <c:pt idx="4">
                  <c:v>37.254901960784316</c:v>
                </c:pt>
                <c:pt idx="5">
                  <c:v>47.787610619469028</c:v>
                </c:pt>
                <c:pt idx="6">
                  <c:v>58.75</c:v>
                </c:pt>
                <c:pt idx="7">
                  <c:v>63.218390804597703</c:v>
                </c:pt>
                <c:pt idx="8">
                  <c:v>65.656565656565661</c:v>
                </c:pt>
                <c:pt idx="9">
                  <c:v>64.893617021276597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8-5746-AF47-B30F4672602F}"/>
            </c:ext>
          </c:extLst>
        </c:ser>
        <c:ser>
          <c:idx val="3"/>
          <c:order val="2"/>
          <c:tx>
            <c:strRef>
              <c:f>orphan!$D$1</c:f>
              <c:strCache>
                <c:ptCount val="1"/>
                <c:pt idx="0">
                  <c:v>Consensus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11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val>
            <c:numRef>
              <c:f>orphan!$D$2:$D$11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8-5746-AF47-B30F46726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861807"/>
        <c:axId val="1892151615"/>
      </c:lineChart>
      <c:catAx>
        <c:axId val="185986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Block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51615"/>
        <c:crossesAt val="0"/>
        <c:auto val="1"/>
        <c:lblAlgn val="ctr"/>
        <c:lblOffset val="100"/>
        <c:noMultiLvlLbl val="0"/>
      </c:catAx>
      <c:valAx>
        <c:axId val="189215161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Orphan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6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252105493611062"/>
          <c:y val="0.94643157854070159"/>
          <c:w val="0.34925282070103353"/>
          <c:h val="4.3311068236032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orphan!$B$1</c:f>
              <c:strCache>
                <c:ptCount val="1"/>
                <c:pt idx="0">
                  <c:v>traditional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orphan!$A$2:$A$11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orphan!$B$2:$B$11</c:f>
              <c:numCache>
                <c:formatCode>0.00</c:formatCode>
                <c:ptCount val="10"/>
                <c:pt idx="0">
                  <c:v>17.0546875</c:v>
                </c:pt>
                <c:pt idx="1">
                  <c:v>54.081632653061227</c:v>
                </c:pt>
                <c:pt idx="2">
                  <c:v>75</c:v>
                </c:pt>
                <c:pt idx="3">
                  <c:v>88.732394366197184</c:v>
                </c:pt>
                <c:pt idx="4">
                  <c:v>90.769230769230774</c:v>
                </c:pt>
                <c:pt idx="5">
                  <c:v>91.764705882352942</c:v>
                </c:pt>
                <c:pt idx="6">
                  <c:v>92.800000000000011</c:v>
                </c:pt>
                <c:pt idx="7">
                  <c:v>95.798319327731093</c:v>
                </c:pt>
                <c:pt idx="8">
                  <c:v>97.222222222222214</c:v>
                </c:pt>
                <c:pt idx="9">
                  <c:v>95.412844036697251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8-AE49-A38C-3F3A73B2B47A}"/>
            </c:ext>
          </c:extLst>
        </c:ser>
        <c:ser>
          <c:idx val="2"/>
          <c:order val="1"/>
          <c:tx>
            <c:strRef>
              <c:f>orphan!$F$1</c:f>
              <c:strCache>
                <c:ptCount val="1"/>
                <c:pt idx="0">
                  <c:v>orphan k=1000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orphan!$A$2:$A$11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orphan!$F$2:$F$11</c:f>
              <c:numCache>
                <c:formatCode>0.00</c:formatCode>
                <c:ptCount val="10"/>
                <c:pt idx="0">
                  <c:v>6.7275229357798167</c:v>
                </c:pt>
                <c:pt idx="1">
                  <c:v>23.967256637168141</c:v>
                </c:pt>
                <c:pt idx="2">
                  <c:v>28.448275862068968</c:v>
                </c:pt>
                <c:pt idx="3">
                  <c:v>19.032258064516128</c:v>
                </c:pt>
                <c:pt idx="4">
                  <c:v>41.960784313725483</c:v>
                </c:pt>
                <c:pt idx="5">
                  <c:v>43.108384458077708</c:v>
                </c:pt>
                <c:pt idx="6">
                  <c:v>45.593419506462986</c:v>
                </c:pt>
                <c:pt idx="7">
                  <c:v>56.25</c:v>
                </c:pt>
                <c:pt idx="8">
                  <c:v>60.909090909090914</c:v>
                </c:pt>
                <c:pt idx="9">
                  <c:v>61.224489795918366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8-AE49-A38C-3F3A73B2B47A}"/>
            </c:ext>
          </c:extLst>
        </c:ser>
        <c:ser>
          <c:idx val="3"/>
          <c:order val="2"/>
          <c:tx>
            <c:strRef>
              <c:f>orphan!$D$1</c:f>
              <c:strCache>
                <c:ptCount val="1"/>
                <c:pt idx="0">
                  <c:v>Consensus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11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val>
            <c:numRef>
              <c:f>orphan!$D$2:$D$11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88-AE49-A38C-3F3A73B2B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861807"/>
        <c:axId val="1892151615"/>
      </c:lineChart>
      <c:catAx>
        <c:axId val="185986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Block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51615"/>
        <c:crossesAt val="0"/>
        <c:auto val="1"/>
        <c:lblAlgn val="ctr"/>
        <c:lblOffset val="100"/>
        <c:noMultiLvlLbl val="0"/>
      </c:catAx>
      <c:valAx>
        <c:axId val="189215161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>
                    <a:solidFill>
                      <a:schemeClr val="tx1"/>
                    </a:solidFill>
                  </a:rPr>
                  <a:t>Orphan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6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252105493611062"/>
          <c:y val="0.94643157854070159"/>
          <c:w val="0.34925282070103353"/>
          <c:h val="4.3311068236032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836653656115331E-2"/>
          <c:y val="6.9865168539325853E-2"/>
          <c:w val="0.79973524051851597"/>
          <c:h val="0.74957681086676919"/>
        </c:manualLayout>
      </c:layout>
      <c:lineChart>
        <c:grouping val="standard"/>
        <c:varyColors val="0"/>
        <c:ser>
          <c:idx val="1"/>
          <c:order val="0"/>
          <c:tx>
            <c:strRef>
              <c:f>prop!$B$1</c:f>
              <c:strCache>
                <c:ptCount val="1"/>
                <c:pt idx="0">
                  <c:v>traditional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prop!$A$2:$A$11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prop!$B$2:$B$11</c:f>
              <c:numCache>
                <c:formatCode>General</c:formatCode>
                <c:ptCount val="10"/>
                <c:pt idx="0">
                  <c:v>45.34</c:v>
                </c:pt>
                <c:pt idx="1">
                  <c:v>1045</c:v>
                </c:pt>
                <c:pt idx="2">
                  <c:v>4043</c:v>
                </c:pt>
                <c:pt idx="3">
                  <c:v>6418</c:v>
                </c:pt>
                <c:pt idx="4">
                  <c:v>8984</c:v>
                </c:pt>
                <c:pt idx="5">
                  <c:v>6569</c:v>
                </c:pt>
                <c:pt idx="6">
                  <c:v>11696</c:v>
                </c:pt>
                <c:pt idx="7">
                  <c:v>16100</c:v>
                </c:pt>
                <c:pt idx="8">
                  <c:v>16475</c:v>
                </c:pt>
                <c:pt idx="9">
                  <c:v>17879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D3-8E44-84B4-FC79E22CB9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8600431"/>
        <c:axId val="1890056351"/>
      </c:lineChart>
      <c:lineChart>
        <c:grouping val="standard"/>
        <c:varyColors val="0"/>
        <c:ser>
          <c:idx val="2"/>
          <c:order val="1"/>
          <c:tx>
            <c:strRef>
              <c:f>prop!$C$1</c:f>
              <c:strCache>
                <c:ptCount val="1"/>
                <c:pt idx="0">
                  <c:v>raptor k=10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prop!$A$2:$A$11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prop!$C$2:$C$11</c:f>
              <c:numCache>
                <c:formatCode>General</c:formatCode>
                <c:ptCount val="10"/>
                <c:pt idx="0">
                  <c:v>7.38</c:v>
                </c:pt>
                <c:pt idx="1">
                  <c:v>39.64</c:v>
                </c:pt>
                <c:pt idx="2">
                  <c:v>99.56</c:v>
                </c:pt>
                <c:pt idx="3">
                  <c:v>167.35</c:v>
                </c:pt>
                <c:pt idx="4">
                  <c:v>562.96</c:v>
                </c:pt>
                <c:pt idx="5">
                  <c:v>599.94000000000005</c:v>
                </c:pt>
                <c:pt idx="6">
                  <c:v>1052.5899999999999</c:v>
                </c:pt>
                <c:pt idx="7">
                  <c:v>1703.99</c:v>
                </c:pt>
                <c:pt idx="8">
                  <c:v>1277.99</c:v>
                </c:pt>
                <c:pt idx="9">
                  <c:v>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D3-8E44-84B4-FC79E22CB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668815"/>
        <c:axId val="1465919295"/>
      </c:lineChart>
      <c:catAx>
        <c:axId val="188860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BLOCK SIZE</a:t>
                </a:r>
              </a:p>
            </c:rich>
          </c:tx>
          <c:layout>
            <c:manualLayout>
              <c:xMode val="edge"/>
              <c:yMode val="edge"/>
              <c:x val="0.46391508635627304"/>
              <c:y val="0.87362173353828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56351"/>
        <c:crosses val="autoZero"/>
        <c:auto val="1"/>
        <c:lblAlgn val="ctr"/>
        <c:lblOffset val="100"/>
        <c:noMultiLvlLbl val="0"/>
      </c:catAx>
      <c:valAx>
        <c:axId val="18900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traditional (sec) </a:t>
                </a:r>
              </a:p>
            </c:rich>
          </c:tx>
          <c:layout>
            <c:manualLayout>
              <c:xMode val="edge"/>
              <c:yMode val="edge"/>
              <c:x val="7.1135325075153723E-3"/>
              <c:y val="0.36489255576120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00431"/>
        <c:crosses val="autoZero"/>
        <c:crossBetween val="between"/>
      </c:valAx>
      <c:valAx>
        <c:axId val="14659192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raptor k=10 (sec)</a:t>
                </a:r>
              </a:p>
            </c:rich>
          </c:tx>
          <c:layout>
            <c:manualLayout>
              <c:xMode val="edge"/>
              <c:yMode val="edge"/>
              <c:x val="0.93773659296954692"/>
              <c:y val="0.31802004580104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68815"/>
        <c:crosses val="max"/>
        <c:crossBetween val="between"/>
      </c:valAx>
      <c:catAx>
        <c:axId val="144266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59192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01037777581173"/>
          <c:y val="0.90653590362957615"/>
          <c:w val="0.40630929841634966"/>
          <c:h val="8.1511905135364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836653656115331E-2"/>
          <c:y val="6.9865168539325853E-2"/>
          <c:w val="0.81216005234302724"/>
          <c:h val="0.74957681086676919"/>
        </c:manualLayout>
      </c:layout>
      <c:lineChart>
        <c:grouping val="standard"/>
        <c:varyColors val="0"/>
        <c:ser>
          <c:idx val="1"/>
          <c:order val="0"/>
          <c:tx>
            <c:strRef>
              <c:f>prop!$B$1</c:f>
              <c:strCache>
                <c:ptCount val="1"/>
                <c:pt idx="0">
                  <c:v>traditional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prop!$A$2:$A$11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prop!$B$2:$B$11</c:f>
              <c:numCache>
                <c:formatCode>General</c:formatCode>
                <c:ptCount val="10"/>
                <c:pt idx="0">
                  <c:v>45.34</c:v>
                </c:pt>
                <c:pt idx="1">
                  <c:v>1045</c:v>
                </c:pt>
                <c:pt idx="2">
                  <c:v>4043</c:v>
                </c:pt>
                <c:pt idx="3">
                  <c:v>6418</c:v>
                </c:pt>
                <c:pt idx="4">
                  <c:v>8984</c:v>
                </c:pt>
                <c:pt idx="5">
                  <c:v>6569</c:v>
                </c:pt>
                <c:pt idx="6">
                  <c:v>11696</c:v>
                </c:pt>
                <c:pt idx="7">
                  <c:v>16100</c:v>
                </c:pt>
                <c:pt idx="8">
                  <c:v>16475</c:v>
                </c:pt>
                <c:pt idx="9">
                  <c:v>17879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4-F846-9C74-929BA09906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8600431"/>
        <c:axId val="1890056351"/>
      </c:lineChart>
      <c:lineChart>
        <c:grouping val="standard"/>
        <c:varyColors val="0"/>
        <c:ser>
          <c:idx val="2"/>
          <c:order val="1"/>
          <c:tx>
            <c:strRef>
              <c:f>prop!$D$1</c:f>
              <c:strCache>
                <c:ptCount val="1"/>
                <c:pt idx="0">
                  <c:v>raptor k=100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prop!$A$2:$A$11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prop!$D$2:$D$11</c:f>
              <c:numCache>
                <c:formatCode>General</c:formatCode>
                <c:ptCount val="10"/>
                <c:pt idx="0">
                  <c:v>1.27</c:v>
                </c:pt>
                <c:pt idx="1">
                  <c:v>23.37</c:v>
                </c:pt>
                <c:pt idx="2">
                  <c:v>35.630000000000003</c:v>
                </c:pt>
                <c:pt idx="3">
                  <c:v>37.83</c:v>
                </c:pt>
                <c:pt idx="4">
                  <c:v>78.75</c:v>
                </c:pt>
                <c:pt idx="5">
                  <c:v>41.91</c:v>
                </c:pt>
                <c:pt idx="6">
                  <c:v>169.85</c:v>
                </c:pt>
                <c:pt idx="7">
                  <c:v>177.09</c:v>
                </c:pt>
                <c:pt idx="8">
                  <c:v>263.23</c:v>
                </c:pt>
                <c:pt idx="9">
                  <c:v>304.14999999999998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4-F846-9C74-929BA099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171871"/>
        <c:axId val="1460063263"/>
      </c:lineChart>
      <c:catAx>
        <c:axId val="188860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BLOCK SIZE</a:t>
                </a:r>
              </a:p>
            </c:rich>
          </c:tx>
          <c:layout>
            <c:manualLayout>
              <c:xMode val="edge"/>
              <c:yMode val="edge"/>
              <c:x val="0.46391508635627304"/>
              <c:y val="0.87362173353828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56351"/>
        <c:crosses val="autoZero"/>
        <c:auto val="1"/>
        <c:lblAlgn val="ctr"/>
        <c:lblOffset val="100"/>
        <c:noMultiLvlLbl val="0"/>
      </c:catAx>
      <c:valAx>
        <c:axId val="18900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traditional (sec)</a:t>
                </a:r>
              </a:p>
            </c:rich>
          </c:tx>
          <c:layout>
            <c:manualLayout>
              <c:xMode val="edge"/>
              <c:yMode val="edge"/>
              <c:x val="7.1135325075153723E-3"/>
              <c:y val="0.36489255576120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00431"/>
        <c:crosses val="autoZero"/>
        <c:crossBetween val="between"/>
      </c:valAx>
      <c:valAx>
        <c:axId val="14600632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raptor k=100 (sec)</a:t>
                </a:r>
              </a:p>
            </c:rich>
          </c:tx>
          <c:layout>
            <c:manualLayout>
              <c:xMode val="edge"/>
              <c:yMode val="edge"/>
              <c:x val="0.95146537914852336"/>
              <c:y val="0.31889152053204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71871"/>
        <c:crosses val="max"/>
        <c:crossBetween val="between"/>
      </c:valAx>
      <c:catAx>
        <c:axId val="14661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063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01037777581173"/>
          <c:y val="0.90653590362957615"/>
          <c:w val="0.40630929841634966"/>
          <c:h val="8.1511905135364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836653656115331E-2"/>
          <c:y val="6.9865168539325853E-2"/>
          <c:w val="0.82085544581493786"/>
          <c:h val="0.74957681086676919"/>
        </c:manualLayout>
      </c:layout>
      <c:lineChart>
        <c:grouping val="standard"/>
        <c:varyColors val="0"/>
        <c:ser>
          <c:idx val="1"/>
          <c:order val="0"/>
          <c:tx>
            <c:strRef>
              <c:f>prop!$B$1</c:f>
              <c:strCache>
                <c:ptCount val="1"/>
                <c:pt idx="0">
                  <c:v>traditional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prop!$A$2:$A$11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prop!$B$2:$B$11</c:f>
              <c:numCache>
                <c:formatCode>General</c:formatCode>
                <c:ptCount val="10"/>
                <c:pt idx="0">
                  <c:v>45.34</c:v>
                </c:pt>
                <c:pt idx="1">
                  <c:v>1045</c:v>
                </c:pt>
                <c:pt idx="2">
                  <c:v>4043</c:v>
                </c:pt>
                <c:pt idx="3">
                  <c:v>6418</c:v>
                </c:pt>
                <c:pt idx="4">
                  <c:v>8984</c:v>
                </c:pt>
                <c:pt idx="5">
                  <c:v>6569</c:v>
                </c:pt>
                <c:pt idx="6">
                  <c:v>11696</c:v>
                </c:pt>
                <c:pt idx="7">
                  <c:v>16100</c:v>
                </c:pt>
                <c:pt idx="8">
                  <c:v>16475</c:v>
                </c:pt>
                <c:pt idx="9">
                  <c:v>17879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1-F649-97E9-DFD53E7621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8600431"/>
        <c:axId val="1890056351"/>
      </c:lineChart>
      <c:lineChart>
        <c:grouping val="standard"/>
        <c:varyColors val="0"/>
        <c:ser>
          <c:idx val="2"/>
          <c:order val="1"/>
          <c:tx>
            <c:strRef>
              <c:f>prop!$E$1</c:f>
              <c:strCache>
                <c:ptCount val="1"/>
                <c:pt idx="0">
                  <c:v>raptor k=1000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prop!$A$2:$A$11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prop!$E$2:$E$11</c:f>
              <c:numCache>
                <c:formatCode>General</c:formatCode>
                <c:ptCount val="10"/>
                <c:pt idx="0">
                  <c:v>3.19</c:v>
                </c:pt>
                <c:pt idx="1">
                  <c:v>8.08</c:v>
                </c:pt>
                <c:pt idx="2">
                  <c:v>13.27</c:v>
                </c:pt>
                <c:pt idx="3">
                  <c:v>49.7</c:v>
                </c:pt>
                <c:pt idx="4">
                  <c:v>95.75</c:v>
                </c:pt>
                <c:pt idx="5">
                  <c:v>158.02799999999999</c:v>
                </c:pt>
                <c:pt idx="6">
                  <c:v>116.86</c:v>
                </c:pt>
                <c:pt idx="7">
                  <c:v>108.79</c:v>
                </c:pt>
                <c:pt idx="8">
                  <c:v>219.26</c:v>
                </c:pt>
                <c:pt idx="9">
                  <c:v>310.82499999999999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1-F649-97E9-DFD53E762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401791"/>
        <c:axId val="1466208671"/>
      </c:lineChart>
      <c:catAx>
        <c:axId val="188860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BLOCK SIZE</a:t>
                </a:r>
              </a:p>
            </c:rich>
          </c:tx>
          <c:layout>
            <c:manualLayout>
              <c:xMode val="edge"/>
              <c:yMode val="edge"/>
              <c:x val="0.46391508635627304"/>
              <c:y val="0.87362173353828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56351"/>
        <c:crosses val="autoZero"/>
        <c:auto val="1"/>
        <c:lblAlgn val="ctr"/>
        <c:lblOffset val="100"/>
        <c:noMultiLvlLbl val="0"/>
      </c:catAx>
      <c:valAx>
        <c:axId val="18900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traditional (sec)</a:t>
                </a:r>
              </a:p>
            </c:rich>
          </c:tx>
          <c:layout>
            <c:manualLayout>
              <c:xMode val="edge"/>
              <c:yMode val="edge"/>
              <c:x val="7.1135325075153723E-3"/>
              <c:y val="0.36489255576120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00431"/>
        <c:crosses val="autoZero"/>
        <c:crossBetween val="between"/>
      </c:valAx>
      <c:valAx>
        <c:axId val="14662086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raptor k=1000 (sec)</a:t>
                </a:r>
              </a:p>
            </c:rich>
          </c:tx>
          <c:layout>
            <c:manualLayout>
              <c:xMode val="edge"/>
              <c:yMode val="edge"/>
              <c:x val="0.95163932001274409"/>
              <c:y val="0.277930325940333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401791"/>
        <c:crosses val="max"/>
        <c:crossBetween val="between"/>
      </c:valAx>
      <c:catAx>
        <c:axId val="1466401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620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01037777581173"/>
          <c:y val="0.90653590362957615"/>
          <c:w val="0.40630929841634966"/>
          <c:h val="8.1511905135364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836653656115331E-2"/>
          <c:y val="6.9865168539325853E-2"/>
          <c:w val="0.81216005234302724"/>
          <c:h val="0.74957681086676919"/>
        </c:manualLayout>
      </c:layout>
      <c:lineChart>
        <c:grouping val="standard"/>
        <c:varyColors val="0"/>
        <c:ser>
          <c:idx val="1"/>
          <c:order val="0"/>
          <c:tx>
            <c:strRef>
              <c:f>prop!$B$1</c:f>
              <c:strCache>
                <c:ptCount val="1"/>
                <c:pt idx="0">
                  <c:v>traditional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prop!$A$2:$A$11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prop!$B$2:$B$11</c:f>
              <c:numCache>
                <c:formatCode>General</c:formatCode>
                <c:ptCount val="10"/>
                <c:pt idx="0">
                  <c:v>45.34</c:v>
                </c:pt>
                <c:pt idx="1">
                  <c:v>1045</c:v>
                </c:pt>
                <c:pt idx="2">
                  <c:v>4043</c:v>
                </c:pt>
                <c:pt idx="3">
                  <c:v>6418</c:v>
                </c:pt>
                <c:pt idx="4">
                  <c:v>8984</c:v>
                </c:pt>
                <c:pt idx="5">
                  <c:v>6569</c:v>
                </c:pt>
                <c:pt idx="6">
                  <c:v>11696</c:v>
                </c:pt>
                <c:pt idx="7">
                  <c:v>16100</c:v>
                </c:pt>
                <c:pt idx="8">
                  <c:v>16475</c:v>
                </c:pt>
                <c:pt idx="9">
                  <c:v>17879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F-0C45-8807-F4A653A185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8600431"/>
        <c:axId val="1890056351"/>
      </c:lineChart>
      <c:lineChart>
        <c:grouping val="standard"/>
        <c:varyColors val="0"/>
        <c:ser>
          <c:idx val="2"/>
          <c:order val="1"/>
          <c:tx>
            <c:strRef>
              <c:f>prop!$F$1</c:f>
              <c:strCache>
                <c:ptCount val="1"/>
                <c:pt idx="0">
                  <c:v>raptor k=10000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prop!$A$2:$A$11</c:f>
              <c:strCache>
                <c:ptCount val="10"/>
                <c:pt idx="0">
                  <c:v>100MB</c:v>
                </c:pt>
                <c:pt idx="1">
                  <c:v>200MB</c:v>
                </c:pt>
                <c:pt idx="2">
                  <c:v>300MB</c:v>
                </c:pt>
                <c:pt idx="3">
                  <c:v>400MB</c:v>
                </c:pt>
                <c:pt idx="4">
                  <c:v>500MB</c:v>
                </c:pt>
                <c:pt idx="5">
                  <c:v>600MB</c:v>
                </c:pt>
                <c:pt idx="6">
                  <c:v>700MB</c:v>
                </c:pt>
                <c:pt idx="7">
                  <c:v>800MB</c:v>
                </c:pt>
                <c:pt idx="8">
                  <c:v>900MB</c:v>
                </c:pt>
                <c:pt idx="9">
                  <c:v>1000MB</c:v>
                </c:pt>
              </c:strCache>
            </c:strRef>
          </c:cat>
          <c:val>
            <c:numRef>
              <c:f>prop!$F$2:$F$11</c:f>
              <c:numCache>
                <c:formatCode>General</c:formatCode>
                <c:ptCount val="10"/>
                <c:pt idx="0">
                  <c:v>2.64</c:v>
                </c:pt>
                <c:pt idx="1">
                  <c:v>5.22</c:v>
                </c:pt>
                <c:pt idx="2">
                  <c:v>27.71</c:v>
                </c:pt>
                <c:pt idx="3">
                  <c:v>11.12</c:v>
                </c:pt>
                <c:pt idx="4">
                  <c:v>106.61</c:v>
                </c:pt>
                <c:pt idx="5">
                  <c:v>115.03</c:v>
                </c:pt>
                <c:pt idx="6">
                  <c:v>105.081</c:v>
                </c:pt>
                <c:pt idx="7">
                  <c:v>230.1</c:v>
                </c:pt>
                <c:pt idx="8">
                  <c:v>295.8</c:v>
                </c:pt>
                <c:pt idx="9">
                  <c:v>160.30000000000001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F-0C45-8807-F4A653A18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811423"/>
        <c:axId val="1460759439"/>
      </c:lineChart>
      <c:catAx>
        <c:axId val="188860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BLOCK SIZE</a:t>
                </a:r>
              </a:p>
            </c:rich>
          </c:tx>
          <c:layout>
            <c:manualLayout>
              <c:xMode val="edge"/>
              <c:yMode val="edge"/>
              <c:x val="0.46391508635627304"/>
              <c:y val="0.87362173353828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56351"/>
        <c:crosses val="autoZero"/>
        <c:auto val="1"/>
        <c:lblAlgn val="ctr"/>
        <c:lblOffset val="100"/>
        <c:noMultiLvlLbl val="0"/>
      </c:catAx>
      <c:valAx>
        <c:axId val="18900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traditinal (sec)</a:t>
                </a:r>
              </a:p>
            </c:rich>
          </c:tx>
          <c:layout>
            <c:manualLayout>
              <c:xMode val="edge"/>
              <c:yMode val="edge"/>
              <c:x val="7.1135325075153723E-3"/>
              <c:y val="0.36489255576120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00431"/>
        <c:crosses val="autoZero"/>
        <c:crossBetween val="between"/>
      </c:valAx>
      <c:valAx>
        <c:axId val="14607594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TIME raptor k=10000 (sec)</a:t>
                </a:r>
              </a:p>
            </c:rich>
          </c:tx>
          <c:layout>
            <c:manualLayout>
              <c:xMode val="edge"/>
              <c:yMode val="edge"/>
              <c:x val="0.94430205536628831"/>
              <c:y val="0.293338770900649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11423"/>
        <c:crosses val="max"/>
        <c:crossBetween val="between"/>
      </c:valAx>
      <c:catAx>
        <c:axId val="1464811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759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01037777581173"/>
          <c:y val="0.90653590362957615"/>
          <c:w val="0.40630929841634966"/>
          <c:h val="8.1511905135364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07639427195953"/>
          <c:y val="0.10818574514038877"/>
          <c:w val="0.81960346261065198"/>
          <c:h val="0.72200866573579581"/>
        </c:manualLayout>
      </c:layout>
      <c:lineChart>
        <c:grouping val="standard"/>
        <c:varyColors val="0"/>
        <c:ser>
          <c:idx val="3"/>
          <c:order val="0"/>
          <c:tx>
            <c:strRef>
              <c:f>'symbol size'!$B$1</c:f>
              <c:strCache>
                <c:ptCount val="1"/>
                <c:pt idx="0">
                  <c:v>orphan k=10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8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numRef>
              <c:f>'symbol size'!$A$2:$A$11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'symbol size'!$B$2:$B$11</c:f>
              <c:numCache>
                <c:formatCode>0.00</c:formatCode>
                <c:ptCount val="10"/>
                <c:pt idx="0">
                  <c:v>9</c:v>
                </c:pt>
                <c:pt idx="1">
                  <c:v>22.346368715083798</c:v>
                </c:pt>
                <c:pt idx="2">
                  <c:v>32.871559633027516</c:v>
                </c:pt>
                <c:pt idx="3">
                  <c:v>43.39622641509434</c:v>
                </c:pt>
                <c:pt idx="4">
                  <c:v>58.928571428571431</c:v>
                </c:pt>
                <c:pt idx="5">
                  <c:v>58.762886597938149</c:v>
                </c:pt>
                <c:pt idx="6">
                  <c:v>57.777777777777771</c:v>
                </c:pt>
                <c:pt idx="7">
                  <c:v>77.319587628865989</c:v>
                </c:pt>
                <c:pt idx="8">
                  <c:v>67.857142857142861</c:v>
                </c:pt>
                <c:pt idx="9">
                  <c:v>76.623376623376629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17-1A41-AF61-E8DF8DED73D4}"/>
            </c:ext>
          </c:extLst>
        </c:ser>
        <c:ser>
          <c:idx val="2"/>
          <c:order val="1"/>
          <c:tx>
            <c:strRef>
              <c:f>'symbol size'!$C$1</c:f>
              <c:strCache>
                <c:ptCount val="1"/>
                <c:pt idx="0">
                  <c:v>orphan k=100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8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numRef>
              <c:f>'symbol size'!$A$2:$A$11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'symbol size'!$C$2:$C$11</c:f>
              <c:numCache>
                <c:formatCode>0.00</c:formatCode>
                <c:ptCount val="10"/>
                <c:pt idx="0">
                  <c:v>5.3735926305015349</c:v>
                </c:pt>
                <c:pt idx="1">
                  <c:v>17</c:v>
                </c:pt>
                <c:pt idx="2">
                  <c:v>26.041666666666668</c:v>
                </c:pt>
                <c:pt idx="3">
                  <c:v>18.14851485148515</c:v>
                </c:pt>
                <c:pt idx="4">
                  <c:v>40.931372549019606</c:v>
                </c:pt>
                <c:pt idx="5">
                  <c:v>33.726190476190474</c:v>
                </c:pt>
                <c:pt idx="6">
                  <c:v>53.924050632911388</c:v>
                </c:pt>
                <c:pt idx="7">
                  <c:v>56.990566037735846</c:v>
                </c:pt>
                <c:pt idx="8">
                  <c:v>56.237196765498652</c:v>
                </c:pt>
                <c:pt idx="9">
                  <c:v>62.291262135922331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17-1A41-AF61-E8DF8DED73D4}"/>
            </c:ext>
          </c:extLst>
        </c:ser>
        <c:ser>
          <c:idx val="1"/>
          <c:order val="2"/>
          <c:tx>
            <c:strRef>
              <c:f>'symbol size'!$D$1</c:f>
              <c:strCache>
                <c:ptCount val="1"/>
                <c:pt idx="0">
                  <c:v>orphan k=1000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8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numRef>
              <c:f>'symbol size'!$A$2:$A$11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'symbol size'!$D$2:$D$11</c:f>
              <c:numCache>
                <c:formatCode>0.00</c:formatCode>
                <c:ptCount val="10"/>
                <c:pt idx="0">
                  <c:v>6.7275229357798167</c:v>
                </c:pt>
                <c:pt idx="1">
                  <c:v>23.967256637168141</c:v>
                </c:pt>
                <c:pt idx="2">
                  <c:v>28.448275862068968</c:v>
                </c:pt>
                <c:pt idx="3">
                  <c:v>19.032258064516128</c:v>
                </c:pt>
                <c:pt idx="4">
                  <c:v>41.960784313725483</c:v>
                </c:pt>
                <c:pt idx="5">
                  <c:v>43.108384458077708</c:v>
                </c:pt>
                <c:pt idx="6">
                  <c:v>45.593419506462986</c:v>
                </c:pt>
                <c:pt idx="7">
                  <c:v>56.25</c:v>
                </c:pt>
                <c:pt idx="8">
                  <c:v>60.909090909090914</c:v>
                </c:pt>
                <c:pt idx="9">
                  <c:v>61.224489795918366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7-1A41-AF61-E8DF8DED73D4}"/>
            </c:ext>
          </c:extLst>
        </c:ser>
        <c:ser>
          <c:idx val="0"/>
          <c:order val="3"/>
          <c:tx>
            <c:strRef>
              <c:f>'symbol size'!$E$1</c:f>
              <c:strCache>
                <c:ptCount val="1"/>
                <c:pt idx="0">
                  <c:v>Orphan k=10000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diamond"/>
            <c:size val="8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numRef>
              <c:f>'symbol size'!$A$2:$A$11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'symbol size'!$E$2:$E$11</c:f>
              <c:numCache>
                <c:formatCode>0.00</c:formatCode>
                <c:ptCount val="10"/>
                <c:pt idx="0">
                  <c:v>13.152784874808379</c:v>
                </c:pt>
                <c:pt idx="1">
                  <c:v>17.094017094017094</c:v>
                </c:pt>
                <c:pt idx="2">
                  <c:v>26.388888888888889</c:v>
                </c:pt>
                <c:pt idx="3">
                  <c:v>25.510204081632654</c:v>
                </c:pt>
                <c:pt idx="4">
                  <c:v>37.254901960784316</c:v>
                </c:pt>
                <c:pt idx="5">
                  <c:v>47.787610619469028</c:v>
                </c:pt>
                <c:pt idx="6">
                  <c:v>58.75</c:v>
                </c:pt>
                <c:pt idx="7">
                  <c:v>63.218390804597703</c:v>
                </c:pt>
                <c:pt idx="8">
                  <c:v>65.656565656565661</c:v>
                </c:pt>
                <c:pt idx="9">
                  <c:v>64.893617021276597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17-1A41-AF61-E8DF8DED73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8984608"/>
        <c:axId val="608913824"/>
      </c:lineChart>
      <c:catAx>
        <c:axId val="60898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/>
                  <a:t>BLOCK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13824"/>
        <c:crosses val="autoZero"/>
        <c:auto val="1"/>
        <c:lblAlgn val="ctr"/>
        <c:lblOffset val="100"/>
        <c:noMultiLvlLbl val="0"/>
      </c:catAx>
      <c:valAx>
        <c:axId val="6089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/>
                  <a:t>ORPHAN RATE</a:t>
                </a:r>
              </a:p>
            </c:rich>
          </c:tx>
          <c:layout>
            <c:manualLayout>
              <c:xMode val="edge"/>
              <c:yMode val="edge"/>
              <c:x val="2.2855962629023705E-2"/>
              <c:y val="0.403837530804832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8460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3737995794004005"/>
          <c:y val="0.90882062502699046"/>
          <c:w val="0.52648232014476448"/>
          <c:h val="8.0210453583612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696452</xdr:colOff>
      <xdr:row>14</xdr:row>
      <xdr:rowOff>95593</xdr:rowOff>
    </xdr:from>
    <xdr:to>
      <xdr:col>4</xdr:col>
      <xdr:colOff>109248</xdr:colOff>
      <xdr:row>51</xdr:row>
      <xdr:rowOff>27313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32F50FA-2226-EF42-BE25-B153251ED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764731</xdr:colOff>
      <xdr:row>14</xdr:row>
      <xdr:rowOff>54623</xdr:rowOff>
    </xdr:from>
    <xdr:to>
      <xdr:col>11</xdr:col>
      <xdr:colOff>573549</xdr:colOff>
      <xdr:row>50</xdr:row>
      <xdr:rowOff>191182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9175BE-B713-CB4C-8FF6-B1C841952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56</xdr:row>
      <xdr:rowOff>0</xdr:rowOff>
    </xdr:from>
    <xdr:to>
      <xdr:col>10</xdr:col>
      <xdr:colOff>628173</xdr:colOff>
      <xdr:row>92</xdr:row>
      <xdr:rowOff>136559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014110-14BE-434D-B94A-D43D8FDD4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3</xdr:col>
      <xdr:colOff>3932904</xdr:colOff>
      <xdr:row>93</xdr:row>
      <xdr:rowOff>136558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99FC77-4001-424F-9B54-2B6D7729B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12</xdr:row>
      <xdr:rowOff>177800</xdr:rowOff>
    </xdr:from>
    <xdr:to>
      <xdr:col>7</xdr:col>
      <xdr:colOff>50800</xdr:colOff>
      <xdr:row>44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A168C-137E-FE40-97E7-6839E2C79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12</xdr:row>
      <xdr:rowOff>88900</xdr:rowOff>
    </xdr:from>
    <xdr:to>
      <xdr:col>18</xdr:col>
      <xdr:colOff>431800</xdr:colOff>
      <xdr:row>43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1C108-FEDE-2940-8F92-609162F7E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7</xdr:col>
      <xdr:colOff>88900</xdr:colOff>
      <xdr:row>78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34B7EA-1DC2-4141-9171-40499263D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215900</xdr:colOff>
      <xdr:row>47</xdr:row>
      <xdr:rowOff>63500</xdr:rowOff>
    </xdr:from>
    <xdr:to>
      <xdr:col>19</xdr:col>
      <xdr:colOff>0</xdr:colOff>
      <xdr:row>78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53B718-1C30-F148-B071-99BB95A78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14</xdr:row>
      <xdr:rowOff>101600</xdr:rowOff>
    </xdr:from>
    <xdr:to>
      <xdr:col>7</xdr:col>
      <xdr:colOff>12700</xdr:colOff>
      <xdr:row>48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1F8C80-8832-0949-AECF-4DA3D5EA3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93F1-F2D7-9844-AEDA-5F20B6028D02}">
  <dimension ref="A1:G11"/>
  <sheetViews>
    <sheetView topLeftCell="A22" zoomScale="93" workbookViewId="0">
      <selection activeCell="B58" sqref="A1:XFD1048576"/>
    </sheetView>
  </sheetViews>
  <sheetFormatPr baseColWidth="10" defaultRowHeight="16" x14ac:dyDescent="0.2"/>
  <cols>
    <col min="2" max="2" width="33.1640625" customWidth="1"/>
    <col min="3" max="3" width="45.33203125" customWidth="1"/>
    <col min="4" max="4" width="59.33203125" customWidth="1"/>
    <col min="5" max="5" width="27.83203125" customWidth="1"/>
    <col min="6" max="6" width="32.5" customWidth="1"/>
    <col min="7" max="7" width="29.33203125" customWidth="1"/>
  </cols>
  <sheetData>
    <row r="1" spans="1:7" x14ac:dyDescent="0.2">
      <c r="A1" t="s">
        <v>0</v>
      </c>
      <c r="B1" t="s">
        <v>18</v>
      </c>
      <c r="C1" t="s">
        <v>23</v>
      </c>
      <c r="D1" t="s">
        <v>24</v>
      </c>
      <c r="E1" t="s">
        <v>13</v>
      </c>
      <c r="F1" t="s">
        <v>12</v>
      </c>
      <c r="G1" t="s">
        <v>15</v>
      </c>
    </row>
    <row r="2" spans="1:7" x14ac:dyDescent="0.2">
      <c r="A2" t="s">
        <v>1</v>
      </c>
      <c r="B2" s="1">
        <f>(21.83 /128) * 100</f>
        <v>17.0546875</v>
      </c>
      <c r="C2" s="1">
        <f>(9/100)*100</f>
        <v>9</v>
      </c>
      <c r="D2">
        <v>50</v>
      </c>
      <c r="E2" s="1">
        <f>(5.25/97.7)*100</f>
        <v>5.3735926305015349</v>
      </c>
      <c r="F2" s="1">
        <f>(7.333/109)*100</f>
        <v>6.7275229357798167</v>
      </c>
      <c r="G2" s="1">
        <f>(12.87/97.85)*100</f>
        <v>13.152784874808379</v>
      </c>
    </row>
    <row r="3" spans="1:7" x14ac:dyDescent="0.2">
      <c r="A3" t="s">
        <v>2</v>
      </c>
      <c r="B3" s="1">
        <f>(53/98)*100</f>
        <v>54.081632653061227</v>
      </c>
      <c r="C3" s="1">
        <f>(22/99)*100</f>
        <v>22.222222222222221</v>
      </c>
      <c r="D3">
        <v>50</v>
      </c>
      <c r="E3" s="1">
        <f>(16.83/99)*100</f>
        <v>17</v>
      </c>
      <c r="F3" s="1">
        <f>(27.083/113)*100</f>
        <v>23.967256637168141</v>
      </c>
      <c r="G3" s="1">
        <f>(20/117)*100</f>
        <v>17.094017094017094</v>
      </c>
    </row>
    <row r="4" spans="1:7" x14ac:dyDescent="0.2">
      <c r="A4" t="s">
        <v>3</v>
      </c>
      <c r="B4" s="1">
        <f>(102/136)*100</f>
        <v>75</v>
      </c>
      <c r="C4" s="1">
        <f>(35/109)*100</f>
        <v>32.11009174311927</v>
      </c>
      <c r="D4">
        <v>50</v>
      </c>
      <c r="E4" s="1">
        <f>(31.25/120)*100</f>
        <v>26.041666666666668</v>
      </c>
      <c r="F4" s="1">
        <f>(33/116)*100</f>
        <v>28.448275862068968</v>
      </c>
      <c r="G4" s="1">
        <f>(28.5/108)*100</f>
        <v>26.388888888888889</v>
      </c>
    </row>
    <row r="5" spans="1:7" x14ac:dyDescent="0.2">
      <c r="A5" t="s">
        <v>4</v>
      </c>
      <c r="B5" s="1">
        <f>(126/142)*100</f>
        <v>88.732394366197184</v>
      </c>
      <c r="C5" s="1">
        <f>(46/106)*100</f>
        <v>43.39622641509434</v>
      </c>
      <c r="D5">
        <v>50</v>
      </c>
      <c r="E5" s="1">
        <f>(18.33/101)*100</f>
        <v>18.14851485148515</v>
      </c>
      <c r="F5" s="1">
        <f>(17.7/93)*100</f>
        <v>19.032258064516128</v>
      </c>
      <c r="G5" s="1">
        <f>(25/98)*100</f>
        <v>25.510204081632654</v>
      </c>
    </row>
    <row r="6" spans="1:7" x14ac:dyDescent="0.2">
      <c r="A6" t="s">
        <v>5</v>
      </c>
      <c r="B6" s="1">
        <f>(118/130)*100</f>
        <v>90.769230769230774</v>
      </c>
      <c r="C6" s="1">
        <f>(66/112)*100</f>
        <v>58.928571428571431</v>
      </c>
      <c r="D6">
        <v>50</v>
      </c>
      <c r="E6" s="1">
        <f>(41.75/102)*100</f>
        <v>40.931372549019606</v>
      </c>
      <c r="F6" s="1">
        <f>(42.8/102)*100</f>
        <v>41.960784313725483</v>
      </c>
      <c r="G6" s="1">
        <f>(38/102)*100</f>
        <v>37.254901960784316</v>
      </c>
    </row>
    <row r="7" spans="1:7" x14ac:dyDescent="0.2">
      <c r="A7" t="s">
        <v>6</v>
      </c>
      <c r="B7" s="1">
        <f>(78/85)*100</f>
        <v>91.764705882352942</v>
      </c>
      <c r="C7" s="1">
        <f>(57/97)*100</f>
        <v>58.762886597938149</v>
      </c>
      <c r="D7">
        <v>50</v>
      </c>
      <c r="E7" s="1">
        <f>(28.33/84)*100</f>
        <v>33.726190476190474</v>
      </c>
      <c r="F7" s="1">
        <f>(42.16/97.8)*100</f>
        <v>43.108384458077708</v>
      </c>
      <c r="G7" s="1">
        <f>(54/113)*100</f>
        <v>47.787610619469028</v>
      </c>
    </row>
    <row r="8" spans="1:7" x14ac:dyDescent="0.2">
      <c r="A8" t="s">
        <v>7</v>
      </c>
      <c r="B8" s="1">
        <f>(116/125)*100</f>
        <v>92.800000000000011</v>
      </c>
      <c r="C8" s="1">
        <f>(52/90)*100</f>
        <v>57.777777777777771</v>
      </c>
      <c r="D8">
        <v>50</v>
      </c>
      <c r="E8" s="1">
        <f>(53.25/98.75)*100</f>
        <v>53.924050632911388</v>
      </c>
      <c r="F8" s="1">
        <f>(48.5/106.375)*100</f>
        <v>45.593419506462986</v>
      </c>
      <c r="G8" s="1">
        <f>(70.5/120)*100</f>
        <v>58.75</v>
      </c>
    </row>
    <row r="9" spans="1:7" x14ac:dyDescent="0.2">
      <c r="A9" t="s">
        <v>8</v>
      </c>
      <c r="B9" s="1">
        <f>(114/119)*100</f>
        <v>95.798319327731093</v>
      </c>
      <c r="C9" s="1">
        <f>(75/97)*100</f>
        <v>77.319587628865989</v>
      </c>
      <c r="D9">
        <v>50</v>
      </c>
      <c r="E9" s="1">
        <f>(60.41/106)*100</f>
        <v>56.990566037735846</v>
      </c>
      <c r="F9" s="1">
        <f>(54/96)*100</f>
        <v>56.25</v>
      </c>
      <c r="G9" s="1">
        <f>(55/87)*100</f>
        <v>63.218390804597703</v>
      </c>
    </row>
    <row r="10" spans="1:7" x14ac:dyDescent="0.2">
      <c r="A10" t="s">
        <v>9</v>
      </c>
      <c r="B10" s="1">
        <f>(105/108)*100</f>
        <v>97.222222222222214</v>
      </c>
      <c r="C10" s="1">
        <f>(57/84)*100</f>
        <v>67.857142857142861</v>
      </c>
      <c r="D10">
        <v>50</v>
      </c>
      <c r="E10" s="1">
        <f>(52.16/92.75)*100</f>
        <v>56.237196765498652</v>
      </c>
      <c r="F10" s="1">
        <f>(67/110)*100</f>
        <v>60.909090909090914</v>
      </c>
      <c r="G10" s="1">
        <f>(65/99)*100</f>
        <v>65.656565656565661</v>
      </c>
    </row>
    <row r="11" spans="1:7" x14ac:dyDescent="0.2">
      <c r="A11" t="s">
        <v>10</v>
      </c>
      <c r="B11" s="1">
        <f>(104/109)*100</f>
        <v>95.412844036697251</v>
      </c>
      <c r="C11" s="1">
        <f>(59/77)*100</f>
        <v>76.623376623376629</v>
      </c>
      <c r="D11">
        <v>50</v>
      </c>
      <c r="E11" s="1">
        <f>(64.16/103)*100</f>
        <v>62.291262135922331</v>
      </c>
      <c r="F11" s="1">
        <f>(60/98)*100</f>
        <v>61.224489795918366</v>
      </c>
      <c r="G11" s="1">
        <f>(61/94)*100</f>
        <v>64.893617021276597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B59A-B86F-EA4B-89DA-A71F7151C330}">
  <dimension ref="A1:F11"/>
  <sheetViews>
    <sheetView topLeftCell="A35" workbookViewId="0">
      <selection activeCell="K49" sqref="K49"/>
    </sheetView>
  </sheetViews>
  <sheetFormatPr baseColWidth="10" defaultRowHeight="16" x14ac:dyDescent="0.2"/>
  <cols>
    <col min="2" max="2" width="24.33203125" bestFit="1" customWidth="1"/>
    <col min="3" max="3" width="32" customWidth="1"/>
    <col min="4" max="4" width="16.1640625" customWidth="1"/>
    <col min="5" max="5" width="15.5" customWidth="1"/>
    <col min="6" max="6" width="15.33203125" customWidth="1"/>
  </cols>
  <sheetData>
    <row r="1" spans="1:6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2">
      <c r="A2" t="s">
        <v>1</v>
      </c>
      <c r="B2">
        <v>45.34</v>
      </c>
      <c r="C2">
        <v>7.38</v>
      </c>
      <c r="D2">
        <v>1.27</v>
      </c>
      <c r="E2">
        <v>3.19</v>
      </c>
      <c r="F2">
        <v>2.64</v>
      </c>
    </row>
    <row r="3" spans="1:6" x14ac:dyDescent="0.2">
      <c r="A3" t="s">
        <v>2</v>
      </c>
      <c r="B3">
        <v>1045</v>
      </c>
      <c r="C3">
        <v>39.64</v>
      </c>
      <c r="D3">
        <v>23.37</v>
      </c>
      <c r="E3">
        <v>8.08</v>
      </c>
      <c r="F3">
        <v>5.22</v>
      </c>
    </row>
    <row r="4" spans="1:6" x14ac:dyDescent="0.2">
      <c r="A4" t="s">
        <v>3</v>
      </c>
      <c r="B4">
        <v>4043</v>
      </c>
      <c r="C4">
        <v>99.56</v>
      </c>
      <c r="D4">
        <v>35.630000000000003</v>
      </c>
      <c r="E4">
        <v>13.27</v>
      </c>
      <c r="F4">
        <v>27.71</v>
      </c>
    </row>
    <row r="5" spans="1:6" x14ac:dyDescent="0.2">
      <c r="A5" t="s">
        <v>4</v>
      </c>
      <c r="B5">
        <v>6418</v>
      </c>
      <c r="C5">
        <v>167.35</v>
      </c>
      <c r="D5">
        <v>37.83</v>
      </c>
      <c r="E5">
        <v>49.7</v>
      </c>
      <c r="F5">
        <v>11.12</v>
      </c>
    </row>
    <row r="6" spans="1:6" x14ac:dyDescent="0.2">
      <c r="A6" t="s">
        <v>5</v>
      </c>
      <c r="B6">
        <v>8984</v>
      </c>
      <c r="C6">
        <v>562.96</v>
      </c>
      <c r="D6">
        <v>78.75</v>
      </c>
      <c r="E6">
        <v>95.75</v>
      </c>
      <c r="F6">
        <v>106.61</v>
      </c>
    </row>
    <row r="7" spans="1:6" x14ac:dyDescent="0.2">
      <c r="A7" t="s">
        <v>6</v>
      </c>
      <c r="B7">
        <v>6569</v>
      </c>
      <c r="C7">
        <v>599.94000000000005</v>
      </c>
      <c r="D7">
        <v>41.91</v>
      </c>
      <c r="E7">
        <v>158.02799999999999</v>
      </c>
      <c r="F7">
        <v>115.03</v>
      </c>
    </row>
    <row r="8" spans="1:6" x14ac:dyDescent="0.2">
      <c r="A8" t="s">
        <v>7</v>
      </c>
      <c r="B8">
        <v>11696</v>
      </c>
      <c r="C8">
        <v>1052.5899999999999</v>
      </c>
      <c r="D8">
        <v>169.85</v>
      </c>
      <c r="E8">
        <v>116.86</v>
      </c>
      <c r="F8">
        <v>105.081</v>
      </c>
    </row>
    <row r="9" spans="1:6" x14ac:dyDescent="0.2">
      <c r="A9" t="s">
        <v>8</v>
      </c>
      <c r="B9">
        <v>16100</v>
      </c>
      <c r="C9">
        <v>1703.99</v>
      </c>
      <c r="D9">
        <v>177.09</v>
      </c>
      <c r="E9">
        <v>108.79</v>
      </c>
      <c r="F9">
        <v>230.1</v>
      </c>
    </row>
    <row r="10" spans="1:6" x14ac:dyDescent="0.2">
      <c r="A10" t="s">
        <v>9</v>
      </c>
      <c r="B10">
        <v>16475</v>
      </c>
      <c r="C10">
        <v>1277.99</v>
      </c>
      <c r="D10">
        <v>263.23</v>
      </c>
      <c r="E10">
        <v>219.26</v>
      </c>
      <c r="F10">
        <v>295.8</v>
      </c>
    </row>
    <row r="11" spans="1:6" x14ac:dyDescent="0.2">
      <c r="A11" t="s">
        <v>10</v>
      </c>
      <c r="B11">
        <v>17879</v>
      </c>
      <c r="C11">
        <v>3619</v>
      </c>
      <c r="D11">
        <v>304.14999999999998</v>
      </c>
      <c r="E11">
        <v>310.82499999999999</v>
      </c>
      <c r="F11">
        <v>160.30000000000001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6828-8EC1-8240-A2E8-B304BDA5662E}">
  <dimension ref="A1:E11"/>
  <sheetViews>
    <sheetView tabSelected="1" topLeftCell="A5" workbookViewId="0">
      <selection activeCell="C1" sqref="C1:E1048576"/>
    </sheetView>
  </sheetViews>
  <sheetFormatPr baseColWidth="10" defaultRowHeight="16" x14ac:dyDescent="0.2"/>
  <cols>
    <col min="1" max="1" width="33.6640625" customWidth="1"/>
    <col min="2" max="2" width="39.1640625" customWidth="1"/>
    <col min="3" max="3" width="27.83203125" customWidth="1"/>
    <col min="4" max="4" width="32.5" customWidth="1"/>
    <col min="5" max="5" width="29.33203125" customWidth="1"/>
  </cols>
  <sheetData>
    <row r="1" spans="1:5" x14ac:dyDescent="0.2">
      <c r="A1" t="s">
        <v>11</v>
      </c>
      <c r="B1" t="s">
        <v>14</v>
      </c>
      <c r="C1" t="s">
        <v>13</v>
      </c>
      <c r="D1" t="s">
        <v>12</v>
      </c>
      <c r="E1" t="s">
        <v>15</v>
      </c>
    </row>
    <row r="2" spans="1:5" x14ac:dyDescent="0.2">
      <c r="A2">
        <v>100</v>
      </c>
      <c r="B2" s="1">
        <f>(9/100)*100</f>
        <v>9</v>
      </c>
      <c r="C2" s="1">
        <f>(5.25/97.7)*100</f>
        <v>5.3735926305015349</v>
      </c>
      <c r="D2" s="1">
        <f>(7.333/109)*100</f>
        <v>6.7275229357798167</v>
      </c>
      <c r="E2" s="1">
        <f>(12.87/97.85)*100</f>
        <v>13.152784874808379</v>
      </c>
    </row>
    <row r="3" spans="1:5" x14ac:dyDescent="0.2">
      <c r="A3">
        <v>200</v>
      </c>
      <c r="B3" s="1">
        <f>(22/98.45)*100</f>
        <v>22.346368715083798</v>
      </c>
      <c r="C3" s="1">
        <f>(16.83/99)*100</f>
        <v>17</v>
      </c>
      <c r="D3" s="1">
        <f>(27.083/113)*100</f>
        <v>23.967256637168141</v>
      </c>
      <c r="E3" s="1">
        <f>(20/117)*100</f>
        <v>17.094017094017094</v>
      </c>
    </row>
    <row r="4" spans="1:5" x14ac:dyDescent="0.2">
      <c r="A4">
        <v>300</v>
      </c>
      <c r="B4" s="1">
        <f>(35.83/109)*100</f>
        <v>32.871559633027516</v>
      </c>
      <c r="C4" s="1">
        <f>(31.25/120)*100</f>
        <v>26.041666666666668</v>
      </c>
      <c r="D4" s="1">
        <f>(33/116)*100</f>
        <v>28.448275862068968</v>
      </c>
      <c r="E4" s="1">
        <f>(28.5/108)*100</f>
        <v>26.388888888888889</v>
      </c>
    </row>
    <row r="5" spans="1:5" x14ac:dyDescent="0.2">
      <c r="A5">
        <v>400</v>
      </c>
      <c r="B5" s="1">
        <f>(46/106)*100</f>
        <v>43.39622641509434</v>
      </c>
      <c r="C5" s="1">
        <f>(18.33/101)*100</f>
        <v>18.14851485148515</v>
      </c>
      <c r="D5" s="1">
        <f>(17.7/93)*100</f>
        <v>19.032258064516128</v>
      </c>
      <c r="E5" s="1">
        <f>(25/98)*100</f>
        <v>25.510204081632654</v>
      </c>
    </row>
    <row r="6" spans="1:5" x14ac:dyDescent="0.2">
      <c r="A6">
        <v>500</v>
      </c>
      <c r="B6" s="1">
        <f>(66/112)*100</f>
        <v>58.928571428571431</v>
      </c>
      <c r="C6" s="1">
        <f>(41.75/102)*100</f>
        <v>40.931372549019606</v>
      </c>
      <c r="D6" s="1">
        <f>(42.8/102)*100</f>
        <v>41.960784313725483</v>
      </c>
      <c r="E6" s="1">
        <f>(38/102)*100</f>
        <v>37.254901960784316</v>
      </c>
    </row>
    <row r="7" spans="1:5" x14ac:dyDescent="0.2">
      <c r="A7">
        <v>600</v>
      </c>
      <c r="B7" s="1">
        <f>(57/97)*100</f>
        <v>58.762886597938149</v>
      </c>
      <c r="C7" s="1">
        <f>(28.33/84)*100</f>
        <v>33.726190476190474</v>
      </c>
      <c r="D7" s="1">
        <f>(42.16/97.8)*100</f>
        <v>43.108384458077708</v>
      </c>
      <c r="E7" s="1">
        <f>(54/113)*100</f>
        <v>47.787610619469028</v>
      </c>
    </row>
    <row r="8" spans="1:5" x14ac:dyDescent="0.2">
      <c r="A8">
        <v>700</v>
      </c>
      <c r="B8" s="1">
        <f>(52/90)*100</f>
        <v>57.777777777777771</v>
      </c>
      <c r="C8" s="1">
        <f>(53.25/98.75)*100</f>
        <v>53.924050632911388</v>
      </c>
      <c r="D8" s="1">
        <f>(48.5/106.375)*100</f>
        <v>45.593419506462986</v>
      </c>
      <c r="E8" s="1">
        <f>(70.5/120)*100</f>
        <v>58.75</v>
      </c>
    </row>
    <row r="9" spans="1:5" x14ac:dyDescent="0.2">
      <c r="A9">
        <v>800</v>
      </c>
      <c r="B9" s="1">
        <f>(75/97)*100</f>
        <v>77.319587628865989</v>
      </c>
      <c r="C9" s="1">
        <f>(60.41/106)*100</f>
        <v>56.990566037735846</v>
      </c>
      <c r="D9" s="1">
        <f>(54/96)*100</f>
        <v>56.25</v>
      </c>
      <c r="E9" s="1">
        <f>(55/87)*100</f>
        <v>63.218390804597703</v>
      </c>
    </row>
    <row r="10" spans="1:5" x14ac:dyDescent="0.2">
      <c r="A10">
        <v>900</v>
      </c>
      <c r="B10" s="1">
        <f>(57/84)*100</f>
        <v>67.857142857142861</v>
      </c>
      <c r="C10" s="1">
        <f>(52.16/92.75)*100</f>
        <v>56.237196765498652</v>
      </c>
      <c r="D10" s="1">
        <f>(67/110)*100</f>
        <v>60.909090909090914</v>
      </c>
      <c r="E10" s="1">
        <f>(65/99)*100</f>
        <v>65.656565656565661</v>
      </c>
    </row>
    <row r="11" spans="1:5" x14ac:dyDescent="0.2">
      <c r="A11">
        <v>1000</v>
      </c>
      <c r="B11" s="1">
        <f>(59/77)*100</f>
        <v>76.623376623376629</v>
      </c>
      <c r="C11" s="1">
        <f>(64.16/103)*100</f>
        <v>62.291262135922331</v>
      </c>
      <c r="D11" s="1">
        <f>(60/98)*100</f>
        <v>61.224489795918366</v>
      </c>
      <c r="E11" s="1">
        <f>(61/94)*100</f>
        <v>64.893617021276597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8C32-043E-834B-BF48-6A150F8251BA}">
  <dimension ref="A1:C11"/>
  <sheetViews>
    <sheetView workbookViewId="0">
      <selection activeCell="C12" sqref="C12"/>
    </sheetView>
  </sheetViews>
  <sheetFormatPr baseColWidth="10" defaultRowHeight="16" x14ac:dyDescent="0.2"/>
  <cols>
    <col min="2" max="2" width="20.83203125" customWidth="1"/>
    <col min="3" max="3" width="19.5" customWidth="1"/>
  </cols>
  <sheetData>
    <row r="1" spans="1:3" x14ac:dyDescent="0.2">
      <c r="A1" t="s">
        <v>0</v>
      </c>
      <c r="B1" t="s">
        <v>16</v>
      </c>
      <c r="C1" t="s">
        <v>17</v>
      </c>
    </row>
    <row r="2" spans="1:3" x14ac:dyDescent="0.2">
      <c r="A2" t="s">
        <v>1</v>
      </c>
      <c r="B2">
        <f>(7.99/109)*100</f>
        <v>7.330275229357798</v>
      </c>
      <c r="C2">
        <f>(3.58/101)*100</f>
        <v>3.544554455445545</v>
      </c>
    </row>
    <row r="3" spans="1:3" x14ac:dyDescent="0.2">
      <c r="A3" t="s">
        <v>2</v>
      </c>
      <c r="B3">
        <f>(22.5/90)*100</f>
        <v>25</v>
      </c>
      <c r="C3">
        <f>(17/87)*100</f>
        <v>19.540229885057471</v>
      </c>
    </row>
    <row r="4" spans="1:3" x14ac:dyDescent="0.2">
      <c r="A4" t="s">
        <v>3</v>
      </c>
      <c r="B4">
        <f>(14.83/87.125)*100</f>
        <v>17.02152080344333</v>
      </c>
      <c r="C4">
        <f>(28/83)*100</f>
        <v>33.734939759036145</v>
      </c>
    </row>
    <row r="5" spans="1:3" x14ac:dyDescent="0.2">
      <c r="A5" t="s">
        <v>4</v>
      </c>
      <c r="B5">
        <f>(17.7/93.3)*100</f>
        <v>18.971061093247588</v>
      </c>
      <c r="C5">
        <f>(40/99)*100</f>
        <v>40.404040404040401</v>
      </c>
    </row>
    <row r="6" spans="1:3" x14ac:dyDescent="0.2">
      <c r="A6" t="s">
        <v>5</v>
      </c>
      <c r="B6">
        <f>(25/91)*100</f>
        <v>27.472527472527474</v>
      </c>
      <c r="C6">
        <f>(52/96)*100</f>
        <v>54.166666666666664</v>
      </c>
    </row>
    <row r="7" spans="1:3" x14ac:dyDescent="0.2">
      <c r="A7" t="s">
        <v>6</v>
      </c>
      <c r="B7">
        <f>(35/87)*100</f>
        <v>40.229885057471265</v>
      </c>
      <c r="C7">
        <f>(49/86)*100</f>
        <v>56.97674418604651</v>
      </c>
    </row>
    <row r="8" spans="1:3" x14ac:dyDescent="0.2">
      <c r="A8" t="s">
        <v>7</v>
      </c>
      <c r="B8">
        <f>(38/75)*100</f>
        <v>50.666666666666671</v>
      </c>
      <c r="C8">
        <f>(49/86)*100</f>
        <v>56.97674418604651</v>
      </c>
    </row>
    <row r="9" spans="1:3" x14ac:dyDescent="0.2">
      <c r="A9" t="s">
        <v>8</v>
      </c>
      <c r="B9">
        <f>(34/90)*100</f>
        <v>37.777777777777779</v>
      </c>
      <c r="C9">
        <f>(57/87)*100</f>
        <v>65.517241379310349</v>
      </c>
    </row>
    <row r="10" spans="1:3" x14ac:dyDescent="0.2">
      <c r="A10" t="s">
        <v>9</v>
      </c>
      <c r="B10">
        <f>(60/120)*100</f>
        <v>50</v>
      </c>
      <c r="C10">
        <f>(53/73)*100</f>
        <v>72.602739726027394</v>
      </c>
    </row>
    <row r="11" spans="1:3" x14ac:dyDescent="0.2">
      <c r="A11" t="s">
        <v>10</v>
      </c>
      <c r="B11">
        <f>(61/115)*100</f>
        <v>53.04347826086957</v>
      </c>
      <c r="C11">
        <f>(56/75)*100</f>
        <v>74.666666666666671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orphan</vt:lpstr>
      <vt:lpstr>prop</vt:lpstr>
      <vt:lpstr>symbol size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2018-10-13T03:27:34Z</dcterms:created>
  <dcterms:modified xsi:type="dcterms:W3CDTF">2018-12-03T20:39:00Z</dcterms:modified>
</cp:coreProperties>
</file>